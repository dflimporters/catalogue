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SKUs Used (82)" state="visible" r:id="rId4"/>
    <sheet sheetId="2" name="Cards in Catalogue" state="visible" r:id="rId5"/>
    <sheet sheetId="3" name="Not Included This Round" state="visible" r:id="rId6"/>
  </sheets>
  <calcPr calcId="171027"/>
</workbook>
</file>

<file path=xl/sharedStrings.xml><?xml version="1.0" encoding="utf-8"?>
<sst xmlns="http://schemas.openxmlformats.org/spreadsheetml/2006/main" count="606" uniqueCount="243">
  <si>
    <t>DFL SKU</t>
  </si>
  <si>
    <t>Product Name (Supabase)</t>
  </si>
  <si>
    <t>Category</t>
  </si>
  <si>
    <t>Brand</t>
  </si>
  <si>
    <t>Catalogue Page</t>
  </si>
  <si>
    <t>Catalogue Card</t>
  </si>
  <si>
    <t>10001979</t>
  </si>
  <si>
    <t>Covebay Fork &amp; Napkin Combo 10x100 CBY871P</t>
  </si>
  <si>
    <t>PLASTIC</t>
  </si>
  <si>
    <t>Covebay</t>
  </si>
  <si>
    <t>02 — Covebay Cups, Plates &amp; Hot Drinkware</t>
  </si>
  <si>
    <t>Cutlery &amp; Napkin Combos</t>
  </si>
  <si>
    <t>10001436</t>
  </si>
  <si>
    <t>Covebay Soup Spoon &amp; Napkin Combo (10x100) CBY874P</t>
  </si>
  <si>
    <t>10000278</t>
  </si>
  <si>
    <t>Covebay 12oz White Hot Paper Cup 20x50 - NIN - 12HCCOVE</t>
  </si>
  <si>
    <t>ECOCUP</t>
  </si>
  <si>
    <t>Hot Paper Cups</t>
  </si>
  <si>
    <t>10002094</t>
  </si>
  <si>
    <t>Covebay 16oz Hot Cup + Plastic Lids Combo NIN-16HC(40x25)</t>
  </si>
  <si>
    <t>10000266</t>
  </si>
  <si>
    <t>Covebay 8oz Beige Ripple Wall Paper Cup (20x25)</t>
  </si>
  <si>
    <t>10000267</t>
  </si>
  <si>
    <t>Covebay 8oz Hot Cup Fold Back Flat Lid -  20x50 - NIN-8FBWCOVE</t>
  </si>
  <si>
    <t>10000260</t>
  </si>
  <si>
    <t>Covebay 8oz White Hot Paper Cup  20x50  -AC-8HC-2050COVE</t>
  </si>
  <si>
    <t>10001895</t>
  </si>
  <si>
    <t>Covebay 8oz White Hot Paper Cup + Fold back lid Combo  40x25  -NIN-8HC-COVE 4025/25</t>
  </si>
  <si>
    <t>10000264</t>
  </si>
  <si>
    <t>Covebay 8oz White Paper Hot Cup 40x25 - AC-8HC-4025COVE</t>
  </si>
  <si>
    <t>10001897</t>
  </si>
  <si>
    <t>Pricesmart Covebay 8oz Hot Cup - 5X200</t>
  </si>
  <si>
    <t>10000337</t>
  </si>
  <si>
    <t>Covebay 6mm Wrapped Paper Straw 30x100 - Made in Jamaica</t>
  </si>
  <si>
    <t>ECOSTRAW</t>
  </si>
  <si>
    <t>Paper Straws</t>
  </si>
  <si>
    <t>10001340</t>
  </si>
  <si>
    <t>Covebay 12oz Plastic Cup (20x50)</t>
  </si>
  <si>
    <t>Plastic Cups</t>
  </si>
  <si>
    <t>10001341</t>
  </si>
  <si>
    <t>Covebay 12oz Plastic Cup (40x25)</t>
  </si>
  <si>
    <t>10001335</t>
  </si>
  <si>
    <t>Covebay 7oz Plastic Cup  50x50</t>
  </si>
  <si>
    <t>10001337</t>
  </si>
  <si>
    <t>Covebay 7oz Plastic Cup 100X25</t>
  </si>
  <si>
    <t>10001343</t>
  </si>
  <si>
    <t>Covebay 9oz Plastic Cup 20x50</t>
  </si>
  <si>
    <t>10001344</t>
  </si>
  <si>
    <t>Covebay 9oz Plastic Cup 40x25</t>
  </si>
  <si>
    <t>10003506</t>
  </si>
  <si>
    <t>Covebay 10" Plastic Plate 20x25</t>
  </si>
  <si>
    <t>Plastic Plates</t>
  </si>
  <si>
    <t>10003291</t>
  </si>
  <si>
    <t>Covebay 6" Plastic Plates 50x20pk</t>
  </si>
  <si>
    <t>10003356</t>
  </si>
  <si>
    <t>Covebay 9" Plastic Plate 25x20 - P09</t>
  </si>
  <si>
    <t>10002180</t>
  </si>
  <si>
    <t>Pricesmart Covebay 12oz Smoothie Cup</t>
  </si>
  <si>
    <t>Smoothie Cups</t>
  </si>
  <si>
    <t>10000325</t>
  </si>
  <si>
    <t>Covebay 16oz Champagne Soup Container + Plastic Lid Combo - NIN-SC16/CHAMP (20x25)</t>
  </si>
  <si>
    <t>Soup Containers</t>
  </si>
  <si>
    <t>10000327</t>
  </si>
  <si>
    <t>Covebay 16oz Paper Soup Container + Plastic Lids Combo NIN SC16WHT (10x25)</t>
  </si>
  <si>
    <t>10003657</t>
  </si>
  <si>
    <t>Covebay 16oz Paper Soup Container + Plastic Lids Combo SC16WHT (20x25/25)</t>
  </si>
  <si>
    <t>10003568</t>
  </si>
  <si>
    <t>Covebay 32oz Champagne Soup Container + Plastic Lid Combo -   20x25/25 NIN32CHAMP</t>
  </si>
  <si>
    <t>10000329</t>
  </si>
  <si>
    <t>Covebay 32oz Soup Container + Plastic Lid Combo  10x25  NIN</t>
  </si>
  <si>
    <t>10003325</t>
  </si>
  <si>
    <t>Covebay 7x7 2 Compartment Bagasse - Pricesmart</t>
  </si>
  <si>
    <t>ECOBOX</t>
  </si>
  <si>
    <t>03 — Covebay Take-Out, Foil &amp; Wrap</t>
  </si>
  <si>
    <t>Bagasse Boxes</t>
  </si>
  <si>
    <t>10003552</t>
  </si>
  <si>
    <t>Covebay Bagasse 7x7 2 Compartment 8x50 - GW001</t>
  </si>
  <si>
    <t>10003382</t>
  </si>
  <si>
    <t>Covebay Bagasse 8x8 3 Compartment - LZ -A SHO8-3 - 4x50</t>
  </si>
  <si>
    <t>10003379</t>
  </si>
  <si>
    <t>Covebay Bagasse Burger Box 8x50 - GW005</t>
  </si>
  <si>
    <t>10003537</t>
  </si>
  <si>
    <t>Covebay Bagasse Curry Goat 8x50 - GW002</t>
  </si>
  <si>
    <t>10003324</t>
  </si>
  <si>
    <t>Covebay Burger Box Bagasse - Pricesmart</t>
  </si>
  <si>
    <t>10003323</t>
  </si>
  <si>
    <t>Covebay Curry Goat Bagasse  - Pricesmart</t>
  </si>
  <si>
    <t>10003622</t>
  </si>
  <si>
    <t>Covebay 5" Clamshell 20x25 - (Hyplast)</t>
  </si>
  <si>
    <t>CLEARPACK</t>
  </si>
  <si>
    <t>Clamshell Containers</t>
  </si>
  <si>
    <t>10003623</t>
  </si>
  <si>
    <t>Covebay 6" Clamshell 20x25 - (Hyplast)</t>
  </si>
  <si>
    <t>10002188</t>
  </si>
  <si>
    <t>Pricesmart - Covebay 6" Clamshell</t>
  </si>
  <si>
    <t>10001290</t>
  </si>
  <si>
    <t>Covebay 15" Meat Film - MF-15X4000-47GA (1 Roll)</t>
  </si>
  <si>
    <t>PLSWRAP</t>
  </si>
  <si>
    <t>Cling Film &amp; Meat Film</t>
  </si>
  <si>
    <t>10001289</t>
  </si>
  <si>
    <t>Covebay 17" Meat Film - MF-17X5000-47GA (1 Roll)</t>
  </si>
  <si>
    <t>10001292</t>
  </si>
  <si>
    <t>Covebay Cling Film With Dispenser 12"x2000ft  - CBG-12X2000-CF-35GA</t>
  </si>
  <si>
    <t>10001291</t>
  </si>
  <si>
    <t>Covebay Cling Film With Dispenser 18"x2000ft  - CBG-18X2000-CF-35GA</t>
  </si>
  <si>
    <t>10000604</t>
  </si>
  <si>
    <t>Covebay 7" Round Foil Pan + Lid  Combo- 20x10pk</t>
  </si>
  <si>
    <t>FOIL</t>
  </si>
  <si>
    <t>Foil Pans &amp; Lids</t>
  </si>
  <si>
    <t>10000605</t>
  </si>
  <si>
    <t>Covebay 8" Round Foil Pan + Lid Combo - 20x10pk</t>
  </si>
  <si>
    <t>10000606</t>
  </si>
  <si>
    <t>Covebay 9" Round Foil Pan + Lid Combo - 20x10pk</t>
  </si>
  <si>
    <t>10000571</t>
  </si>
  <si>
    <t>CoveBay Full Size Deep Foil Pan (Barcoded) AU0901D (50C/S)</t>
  </si>
  <si>
    <t>10000572</t>
  </si>
  <si>
    <t>CoveBay Full Size Deep Foil Pan Lids (AU901LN) 50C/S</t>
  </si>
  <si>
    <t>10000575</t>
  </si>
  <si>
    <t>CoveBay Half Size Deep Foil Pan  (Barcoded) AU0902D) 100C/S</t>
  </si>
  <si>
    <t>10000576</t>
  </si>
  <si>
    <t>CoveBay Half Size Deep Foil Pan Lids (AU0902L) 100C/S</t>
  </si>
  <si>
    <t>10003500</t>
  </si>
  <si>
    <t>Covebay 7x7 2 Compartment Paper Lunch Box - B2 -  4x50</t>
  </si>
  <si>
    <t>Kraft &amp; Paper Lunch Boxes</t>
  </si>
  <si>
    <t>10003501</t>
  </si>
  <si>
    <t>Covebay Paper Lunch Burger Box -B5 - 6x50</t>
  </si>
  <si>
    <t>10003502</t>
  </si>
  <si>
    <t>Covebay Paper Lunch Curry Goat Box - B1 - 8x50</t>
  </si>
  <si>
    <t>10000249</t>
  </si>
  <si>
    <t>Kraft #2 Lunch Box  - Covebay (6x50)</t>
  </si>
  <si>
    <t>10000243</t>
  </si>
  <si>
    <t>Kraft #8 Lunch Box  - Covebay (6x50)</t>
  </si>
  <si>
    <t>10001112</t>
  </si>
  <si>
    <t>Covebay #2 White Meat Tray (500)</t>
  </si>
  <si>
    <t>PROCESSING</t>
  </si>
  <si>
    <t>Meat Trays</t>
  </si>
  <si>
    <t>10003376</t>
  </si>
  <si>
    <t>Covebay Microwaveable Take-Outs 32oz (1000ml)  Single Compartment w/ Clear Lid  (6x25) RHY-32</t>
  </si>
  <si>
    <t>Microwaveable Take-Out Containers</t>
  </si>
  <si>
    <t>10001218</t>
  </si>
  <si>
    <t>Bingo Hand Towel (24x1)</t>
  </si>
  <si>
    <t>PAPER</t>
  </si>
  <si>
    <t>Bingo</t>
  </si>
  <si>
    <t>04 — Household &amp; Paper</t>
  </si>
  <si>
    <t>Bingo Hand Towel</t>
  </si>
  <si>
    <t>10000676</t>
  </si>
  <si>
    <t>Clean &amp; White Bleach (2litx6)</t>
  </si>
  <si>
    <t>HOUSEHOLD</t>
  </si>
  <si>
    <t>Clean &amp; White</t>
  </si>
  <si>
    <t>Clean &amp; White Bleach</t>
  </si>
  <si>
    <t>10000678</t>
  </si>
  <si>
    <t>Clean &amp; White Bleach (475mlx24)</t>
  </si>
  <si>
    <t>10000677</t>
  </si>
  <si>
    <t>Clean &amp; White Bleach (4litx4)</t>
  </si>
  <si>
    <t>10000679</t>
  </si>
  <si>
    <t>Clean &amp; White Bleach (950mlx12)</t>
  </si>
  <si>
    <t>10002427</t>
  </si>
  <si>
    <t>Domino Super Rollo Buy 5 Get 6  Promotion 8x6pk</t>
  </si>
  <si>
    <t>Domino</t>
  </si>
  <si>
    <t>Domino Toilet Paper</t>
  </si>
  <si>
    <t>10002286</t>
  </si>
  <si>
    <t>Domino Toilet Paper 12/4pk (Extra Grande)</t>
  </si>
  <si>
    <t>10001224</t>
  </si>
  <si>
    <t>Domino Toilet Paper 12/4pk (Grande) red</t>
  </si>
  <si>
    <t>10001225</t>
  </si>
  <si>
    <t>Domino Toilet Paper 12/4pk (Super Rollo)  (blue)</t>
  </si>
  <si>
    <t>10001223</t>
  </si>
  <si>
    <t>Domino Toilet Paper 24/1 (Super Rollo) Blue</t>
  </si>
  <si>
    <t>10001222</t>
  </si>
  <si>
    <t>Domino Toilet Paper Extra Grande 24x1 -  Red</t>
  </si>
  <si>
    <t>10002194</t>
  </si>
  <si>
    <t>White &amp; Bright - Powder Detergent 12 x 1kg</t>
  </si>
  <si>
    <t>White &amp; Bright</t>
  </si>
  <si>
    <t>White &amp; Bright Powder Detergent</t>
  </si>
  <si>
    <t>10001969</t>
  </si>
  <si>
    <t>White &amp; Bright - Powder Detergent 20 x 350g</t>
  </si>
  <si>
    <t>10003370</t>
  </si>
  <si>
    <t>White &amp; Bright - Powder Detergent 3 x 4kg - With Free Scoop</t>
  </si>
  <si>
    <t>10000683</t>
  </si>
  <si>
    <t>Rhino Ezee - Pull  Garbage Bags Large (12rollsx30) 30"x36"x0.6ml</t>
  </si>
  <si>
    <t>GARBAGEBAG</t>
  </si>
  <si>
    <t>Rhino</t>
  </si>
  <si>
    <t>05 — Rhino Garbage Bags</t>
  </si>
  <si>
    <t>Ezee-Pull Garbage Bags</t>
  </si>
  <si>
    <t>10000682</t>
  </si>
  <si>
    <t>Rhino Ezee - Pull  Garbage Bags Medium (12rollsx30) 24"x36"x0.6ml</t>
  </si>
  <si>
    <t>10000684</t>
  </si>
  <si>
    <t>Rhino Ezee - Pull Garbage Bags Jumbo (12rollsx10) 38"x50"x1ml</t>
  </si>
  <si>
    <t>10000681</t>
  </si>
  <si>
    <t>Rhino Ezee - Pull Garbage Bags Small (12rollsx40) 24"X26"X0.5ml</t>
  </si>
  <si>
    <t>10000694</t>
  </si>
  <si>
    <t>Rhino Ezee Tie Garbage Bags Large (12rollsx20) 30"x36"x0.6ml</t>
  </si>
  <si>
    <t>Ezee-Tie Garbage Bags</t>
  </si>
  <si>
    <t>10000693</t>
  </si>
  <si>
    <t>Rhino Ezee Tie Garbage Bags Medium (12rollsx20) 24"x36"x0.6ml</t>
  </si>
  <si>
    <t>10000688</t>
  </si>
  <si>
    <t>Rhino Frosted Garbage Bags Jumbo (12rollsx10) 38"x50"x1ml</t>
  </si>
  <si>
    <t>Frosted Garbage Bags</t>
  </si>
  <si>
    <t>10000687</t>
  </si>
  <si>
    <t>Rhino Frosted Garbage Bags Large (12rollsx30) 30"x36"x0.6ml</t>
  </si>
  <si>
    <t>10000686</t>
  </si>
  <si>
    <t>Rhino Frosted Garbage Bags Medium (12rollsx30) 24"x36"x0.6ml</t>
  </si>
  <si>
    <t>10000685</t>
  </si>
  <si>
    <t>Rhino Frosted Garbage Bags Small (12rollsx40) 24"x26"x0.5ml</t>
  </si>
  <si>
    <t>10000692</t>
  </si>
  <si>
    <t>Rhino Green Garbage Bags Jumbo(12rollsx10) 38"x50"x1ml - BIODEGRADABLE</t>
  </si>
  <si>
    <t>Green Garbage Bags (Biodegradable)</t>
  </si>
  <si>
    <t>10000691</t>
  </si>
  <si>
    <t>Rhino Green Garbage Bags Large (12rollsx25) 30"x36"x0.6ml - BIODEGRADABLE</t>
  </si>
  <si>
    <t>10000690</t>
  </si>
  <si>
    <t>Rhino Green Garbage Bags Medium (12rollsx25) 24"x36"x0.6ml - BIODEGRADABLE</t>
  </si>
  <si>
    <t>10000689</t>
  </si>
  <si>
    <t>Rhino Green Garbage Bags Small (12rollsx40) 20"x22"x0.5ml - BIODEGRADABLE</t>
  </si>
  <si>
    <t>DFL Catalogue 2026 — product families currently in the build</t>
  </si>
  <si>
    <t>Source: Supabase "price_products" table, queried 2026-09-10. 82 active SKUs across the 6 catalogue brands (Covebay, Domino, Bingo, Rhino, Clean &amp; White, White &amp; Bright) were consolidated into the 22 cards below, across 4 product pages. No price or revenue data is included, per instruction. See "All SKUs Used (82)" for the underlying SKU-level list, and "Not Included This Round" for real or planned products that are NOT in this edition.</t>
  </si>
  <si>
    <t>Page</t>
  </si>
  <si>
    <t>Card / Product Family</t>
  </si>
  <si>
    <t># Real SKUs Folded In</t>
  </si>
  <si>
    <t/>
  </si>
  <si>
    <t>TOTAL</t>
  </si>
  <si>
    <t>1. Ol' Timez — has real active SKUs in Supabase, not in this round's brand list</t>
  </si>
  <si>
    <t>10000002</t>
  </si>
  <si>
    <t>Ol' Timez Ginger Beer 500ml 24c/s</t>
  </si>
  <si>
    <t>BEVERAGES</t>
  </si>
  <si>
    <t>10002364</t>
  </si>
  <si>
    <t>Ol' Timez Coconut Oil 500ml - 24c/s</t>
  </si>
  <si>
    <t>FOODSUP</t>
  </si>
  <si>
    <t>10002365</t>
  </si>
  <si>
    <t>Ol' Timez Coconut Oil 900ml - 12c/s</t>
  </si>
  <si>
    <t>10002366</t>
  </si>
  <si>
    <t>Ol' Timez Coconut Oil 2 Litre - 6c/s</t>
  </si>
  <si>
    <t>10001841</t>
  </si>
  <si>
    <t>Ol' Timez Corned Beef 198g/7oz - 24c/s</t>
  </si>
  <si>
    <t>10001842</t>
  </si>
  <si>
    <t>Ol' Timez Corned Beef 340g/12oz - 24c/s</t>
  </si>
  <si>
    <t>2. Covebay "New for 2026" lines — no SKU exists yet in Supabase (not fabricated)</t>
  </si>
  <si>
    <t>Product Name</t>
  </si>
  <si>
    <t>Note</t>
  </si>
  <si>
    <t>Covebay Bath Tissue</t>
  </si>
  <si>
    <t>No DFL SKU yet — not orderable, needs setup before it can appear in the catalogue</t>
  </si>
  <si>
    <t>Covebay Paper Towel</t>
  </si>
  <si>
    <t>Covebay Soap Powder</t>
  </si>
  <si>
    <t>Covebay Easy Dispense Garbage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</si>
</sst>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.5"/>
      <name val="Arial"/>
    </font>
    <font>
      <b/>
      <color rgb="FF2C67D2"/>
      <sz val="13"/>
      <name val="Arial"/>
    </font>
    <font>
      <i/>
      <color rgb="FF5B6472"/>
      <sz val="10"/>
      <name val="Arial"/>
    </font>
    <font>
      <b/>
      <sz val="10.5"/>
      <name val="Arial"/>
    </font>
    <font>
      <b/>
      <color rgb="FF2C67D2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2C67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62" customWidth="1"/>
    <col min="3" max="3" width="14" customWidth="1"/>
    <col min="4" max="4" width="16" customWidth="1"/>
    <col min="5" max="6" width="34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9</v>
      </c>
      <c r="E4" s="2" t="s">
        <v>10</v>
      </c>
      <c r="F4" s="2" t="s">
        <v>17</v>
      </c>
    </row>
    <row r="5" spans="1:6" x14ac:dyDescent="0.25">
      <c r="A5" s="2" t="s">
        <v>18</v>
      </c>
      <c r="B5" s="2" t="s">
        <v>19</v>
      </c>
      <c r="C5" s="2" t="s">
        <v>16</v>
      </c>
      <c r="D5" s="2" t="s">
        <v>9</v>
      </c>
      <c r="E5" s="2" t="s">
        <v>10</v>
      </c>
      <c r="F5" s="2" t="s">
        <v>17</v>
      </c>
    </row>
    <row r="6" spans="1:6" x14ac:dyDescent="0.25">
      <c r="A6" s="2" t="s">
        <v>20</v>
      </c>
      <c r="B6" s="2" t="s">
        <v>21</v>
      </c>
      <c r="C6" s="2" t="s">
        <v>16</v>
      </c>
      <c r="D6" s="2" t="s">
        <v>9</v>
      </c>
      <c r="E6" s="2" t="s">
        <v>10</v>
      </c>
      <c r="F6" s="2" t="s">
        <v>17</v>
      </c>
    </row>
    <row r="7" spans="1:6" x14ac:dyDescent="0.25">
      <c r="A7" s="2" t="s">
        <v>22</v>
      </c>
      <c r="B7" s="2" t="s">
        <v>23</v>
      </c>
      <c r="C7" s="2" t="s">
        <v>16</v>
      </c>
      <c r="D7" s="2" t="s">
        <v>9</v>
      </c>
      <c r="E7" s="2" t="s">
        <v>10</v>
      </c>
      <c r="F7" s="2" t="s">
        <v>17</v>
      </c>
    </row>
    <row r="8" spans="1:6" x14ac:dyDescent="0.25">
      <c r="A8" s="2" t="s">
        <v>24</v>
      </c>
      <c r="B8" s="2" t="s">
        <v>25</v>
      </c>
      <c r="C8" s="2" t="s">
        <v>16</v>
      </c>
      <c r="D8" s="2" t="s">
        <v>9</v>
      </c>
      <c r="E8" s="2" t="s">
        <v>10</v>
      </c>
      <c r="F8" s="2" t="s">
        <v>17</v>
      </c>
    </row>
    <row r="9" spans="1:6" x14ac:dyDescent="0.25">
      <c r="A9" s="2" t="s">
        <v>26</v>
      </c>
      <c r="B9" s="2" t="s">
        <v>27</v>
      </c>
      <c r="C9" s="2" t="s">
        <v>16</v>
      </c>
      <c r="D9" s="2" t="s">
        <v>9</v>
      </c>
      <c r="E9" s="2" t="s">
        <v>10</v>
      </c>
      <c r="F9" s="2" t="s">
        <v>17</v>
      </c>
    </row>
    <row r="10" spans="1:6" x14ac:dyDescent="0.25">
      <c r="A10" s="2" t="s">
        <v>28</v>
      </c>
      <c r="B10" s="2" t="s">
        <v>29</v>
      </c>
      <c r="C10" s="2" t="s">
        <v>16</v>
      </c>
      <c r="D10" s="2" t="s">
        <v>9</v>
      </c>
      <c r="E10" s="2" t="s">
        <v>10</v>
      </c>
      <c r="F10" s="2" t="s">
        <v>17</v>
      </c>
    </row>
    <row r="11" spans="1:6" x14ac:dyDescent="0.25">
      <c r="A11" s="2" t="s">
        <v>30</v>
      </c>
      <c r="B11" s="2" t="s">
        <v>31</v>
      </c>
      <c r="C11" s="2" t="s">
        <v>16</v>
      </c>
      <c r="D11" s="2" t="s">
        <v>9</v>
      </c>
      <c r="E11" s="2" t="s">
        <v>10</v>
      </c>
      <c r="F11" s="2" t="s">
        <v>17</v>
      </c>
    </row>
    <row r="12" spans="1:6" x14ac:dyDescent="0.25">
      <c r="A12" s="2" t="s">
        <v>32</v>
      </c>
      <c r="B12" s="2" t="s">
        <v>33</v>
      </c>
      <c r="C12" s="2" t="s">
        <v>34</v>
      </c>
      <c r="D12" s="2" t="s">
        <v>9</v>
      </c>
      <c r="E12" s="2" t="s">
        <v>10</v>
      </c>
      <c r="F12" s="2" t="s">
        <v>35</v>
      </c>
    </row>
    <row r="13" spans="1:6" x14ac:dyDescent="0.25">
      <c r="A13" s="2" t="s">
        <v>36</v>
      </c>
      <c r="B13" s="2" t="s">
        <v>37</v>
      </c>
      <c r="C13" s="2" t="s">
        <v>8</v>
      </c>
      <c r="D13" s="2" t="s">
        <v>9</v>
      </c>
      <c r="E13" s="2" t="s">
        <v>10</v>
      </c>
      <c r="F13" s="2" t="s">
        <v>38</v>
      </c>
    </row>
    <row r="14" spans="1:6" x14ac:dyDescent="0.25">
      <c r="A14" s="2" t="s">
        <v>39</v>
      </c>
      <c r="B14" s="2" t="s">
        <v>40</v>
      </c>
      <c r="C14" s="2" t="s">
        <v>8</v>
      </c>
      <c r="D14" s="2" t="s">
        <v>9</v>
      </c>
      <c r="E14" s="2" t="s">
        <v>10</v>
      </c>
      <c r="F14" s="2" t="s">
        <v>38</v>
      </c>
    </row>
    <row r="15" spans="1:6" x14ac:dyDescent="0.25">
      <c r="A15" s="2" t="s">
        <v>41</v>
      </c>
      <c r="B15" s="2" t="s">
        <v>42</v>
      </c>
      <c r="C15" s="2" t="s">
        <v>8</v>
      </c>
      <c r="D15" s="2" t="s">
        <v>9</v>
      </c>
      <c r="E15" s="2" t="s">
        <v>10</v>
      </c>
      <c r="F15" s="2" t="s">
        <v>38</v>
      </c>
    </row>
    <row r="16" spans="1:6" x14ac:dyDescent="0.25">
      <c r="A16" s="2" t="s">
        <v>43</v>
      </c>
      <c r="B16" s="2" t="s">
        <v>44</v>
      </c>
      <c r="C16" s="2" t="s">
        <v>8</v>
      </c>
      <c r="D16" s="2" t="s">
        <v>9</v>
      </c>
      <c r="E16" s="2" t="s">
        <v>10</v>
      </c>
      <c r="F16" s="2" t="s">
        <v>38</v>
      </c>
    </row>
    <row r="17" spans="1:6" x14ac:dyDescent="0.25">
      <c r="A17" s="2" t="s">
        <v>45</v>
      </c>
      <c r="B17" s="2" t="s">
        <v>46</v>
      </c>
      <c r="C17" s="2" t="s">
        <v>8</v>
      </c>
      <c r="D17" s="2" t="s">
        <v>9</v>
      </c>
      <c r="E17" s="2" t="s">
        <v>10</v>
      </c>
      <c r="F17" s="2" t="s">
        <v>38</v>
      </c>
    </row>
    <row r="18" spans="1:6" x14ac:dyDescent="0.25">
      <c r="A18" s="2" t="s">
        <v>47</v>
      </c>
      <c r="B18" s="2" t="s">
        <v>48</v>
      </c>
      <c r="C18" s="2" t="s">
        <v>8</v>
      </c>
      <c r="D18" s="2" t="s">
        <v>9</v>
      </c>
      <c r="E18" s="2" t="s">
        <v>10</v>
      </c>
      <c r="F18" s="2" t="s">
        <v>38</v>
      </c>
    </row>
    <row r="19" spans="1:6" x14ac:dyDescent="0.25">
      <c r="A19" s="2" t="s">
        <v>49</v>
      </c>
      <c r="B19" s="2" t="s">
        <v>50</v>
      </c>
      <c r="C19" s="2" t="s">
        <v>8</v>
      </c>
      <c r="D19" s="2" t="s">
        <v>9</v>
      </c>
      <c r="E19" s="2" t="s">
        <v>10</v>
      </c>
      <c r="F19" s="2" t="s">
        <v>51</v>
      </c>
    </row>
    <row r="20" spans="1:6" x14ac:dyDescent="0.25">
      <c r="A20" s="2" t="s">
        <v>52</v>
      </c>
      <c r="B20" s="2" t="s">
        <v>53</v>
      </c>
      <c r="C20" s="2" t="s">
        <v>8</v>
      </c>
      <c r="D20" s="2" t="s">
        <v>9</v>
      </c>
      <c r="E20" s="2" t="s">
        <v>10</v>
      </c>
      <c r="F20" s="2" t="s">
        <v>51</v>
      </c>
    </row>
    <row r="21" spans="1:6" x14ac:dyDescent="0.25">
      <c r="A21" s="2" t="s">
        <v>54</v>
      </c>
      <c r="B21" s="2" t="s">
        <v>55</v>
      </c>
      <c r="C21" s="2" t="s">
        <v>8</v>
      </c>
      <c r="D21" s="2" t="s">
        <v>9</v>
      </c>
      <c r="E21" s="2" t="s">
        <v>10</v>
      </c>
      <c r="F21" s="2" t="s">
        <v>51</v>
      </c>
    </row>
    <row r="22" spans="1:6" x14ac:dyDescent="0.25">
      <c r="A22" s="2" t="s">
        <v>56</v>
      </c>
      <c r="B22" s="2" t="s">
        <v>57</v>
      </c>
      <c r="C22" s="2" t="s">
        <v>8</v>
      </c>
      <c r="D22" s="2" t="s">
        <v>9</v>
      </c>
      <c r="E22" s="2" t="s">
        <v>10</v>
      </c>
      <c r="F22" s="2" t="s">
        <v>58</v>
      </c>
    </row>
    <row r="23" spans="1:6" x14ac:dyDescent="0.25">
      <c r="A23" s="2" t="s">
        <v>59</v>
      </c>
      <c r="B23" s="2" t="s">
        <v>60</v>
      </c>
      <c r="C23" s="2" t="s">
        <v>16</v>
      </c>
      <c r="D23" s="2" t="s">
        <v>9</v>
      </c>
      <c r="E23" s="2" t="s">
        <v>10</v>
      </c>
      <c r="F23" s="2" t="s">
        <v>61</v>
      </c>
    </row>
    <row r="24" spans="1:6" x14ac:dyDescent="0.25">
      <c r="A24" s="2" t="s">
        <v>62</v>
      </c>
      <c r="B24" s="2" t="s">
        <v>63</v>
      </c>
      <c r="C24" s="2" t="s">
        <v>16</v>
      </c>
      <c r="D24" s="2" t="s">
        <v>9</v>
      </c>
      <c r="E24" s="2" t="s">
        <v>10</v>
      </c>
      <c r="F24" s="2" t="s">
        <v>61</v>
      </c>
    </row>
    <row r="25" spans="1:6" x14ac:dyDescent="0.25">
      <c r="A25" s="2" t="s">
        <v>64</v>
      </c>
      <c r="B25" s="2" t="s">
        <v>65</v>
      </c>
      <c r="C25" s="2" t="s">
        <v>16</v>
      </c>
      <c r="D25" s="2" t="s">
        <v>9</v>
      </c>
      <c r="E25" s="2" t="s">
        <v>10</v>
      </c>
      <c r="F25" s="2" t="s">
        <v>61</v>
      </c>
    </row>
    <row r="26" spans="1:6" x14ac:dyDescent="0.25">
      <c r="A26" s="2" t="s">
        <v>66</v>
      </c>
      <c r="B26" s="2" t="s">
        <v>67</v>
      </c>
      <c r="C26" s="2" t="s">
        <v>16</v>
      </c>
      <c r="D26" s="2" t="s">
        <v>9</v>
      </c>
      <c r="E26" s="2" t="s">
        <v>10</v>
      </c>
      <c r="F26" s="2" t="s">
        <v>61</v>
      </c>
    </row>
    <row r="27" spans="1:6" x14ac:dyDescent="0.25">
      <c r="A27" s="2" t="s">
        <v>68</v>
      </c>
      <c r="B27" s="2" t="s">
        <v>69</v>
      </c>
      <c r="C27" s="2" t="s">
        <v>16</v>
      </c>
      <c r="D27" s="2" t="s">
        <v>9</v>
      </c>
      <c r="E27" s="2" t="s">
        <v>10</v>
      </c>
      <c r="F27" s="2" t="s">
        <v>61</v>
      </c>
    </row>
    <row r="28" spans="1:6" x14ac:dyDescent="0.25">
      <c r="A28" s="2" t="s">
        <v>70</v>
      </c>
      <c r="B28" s="2" t="s">
        <v>71</v>
      </c>
      <c r="C28" s="2" t="s">
        <v>72</v>
      </c>
      <c r="D28" s="2" t="s">
        <v>9</v>
      </c>
      <c r="E28" s="2" t="s">
        <v>73</v>
      </c>
      <c r="F28" s="2" t="s">
        <v>74</v>
      </c>
    </row>
    <row r="29" spans="1:6" x14ac:dyDescent="0.25">
      <c r="A29" s="2" t="s">
        <v>75</v>
      </c>
      <c r="B29" s="2" t="s">
        <v>76</v>
      </c>
      <c r="C29" s="2" t="s">
        <v>72</v>
      </c>
      <c r="D29" s="2" t="s">
        <v>9</v>
      </c>
      <c r="E29" s="2" t="s">
        <v>73</v>
      </c>
      <c r="F29" s="2" t="s">
        <v>74</v>
      </c>
    </row>
    <row r="30" spans="1:6" x14ac:dyDescent="0.25">
      <c r="A30" s="2" t="s">
        <v>77</v>
      </c>
      <c r="B30" s="2" t="s">
        <v>78</v>
      </c>
      <c r="C30" s="2" t="s">
        <v>72</v>
      </c>
      <c r="D30" s="2" t="s">
        <v>9</v>
      </c>
      <c r="E30" s="2" t="s">
        <v>73</v>
      </c>
      <c r="F30" s="2" t="s">
        <v>74</v>
      </c>
    </row>
    <row r="31" spans="1:6" x14ac:dyDescent="0.25">
      <c r="A31" s="2" t="s">
        <v>79</v>
      </c>
      <c r="B31" s="2" t="s">
        <v>80</v>
      </c>
      <c r="C31" s="2" t="s">
        <v>72</v>
      </c>
      <c r="D31" s="2" t="s">
        <v>9</v>
      </c>
      <c r="E31" s="2" t="s">
        <v>73</v>
      </c>
      <c r="F31" s="2" t="s">
        <v>74</v>
      </c>
    </row>
    <row r="32" spans="1:6" x14ac:dyDescent="0.25">
      <c r="A32" s="2" t="s">
        <v>81</v>
      </c>
      <c r="B32" s="2" t="s">
        <v>82</v>
      </c>
      <c r="C32" s="2" t="s">
        <v>72</v>
      </c>
      <c r="D32" s="2" t="s">
        <v>9</v>
      </c>
      <c r="E32" s="2" t="s">
        <v>73</v>
      </c>
      <c r="F32" s="2" t="s">
        <v>74</v>
      </c>
    </row>
    <row r="33" spans="1:6" x14ac:dyDescent="0.25">
      <c r="A33" s="2" t="s">
        <v>83</v>
      </c>
      <c r="B33" s="2" t="s">
        <v>84</v>
      </c>
      <c r="C33" s="2" t="s">
        <v>72</v>
      </c>
      <c r="D33" s="2" t="s">
        <v>9</v>
      </c>
      <c r="E33" s="2" t="s">
        <v>73</v>
      </c>
      <c r="F33" s="2" t="s">
        <v>74</v>
      </c>
    </row>
    <row r="34" spans="1:6" x14ac:dyDescent="0.25">
      <c r="A34" s="2" t="s">
        <v>85</v>
      </c>
      <c r="B34" s="2" t="s">
        <v>86</v>
      </c>
      <c r="C34" s="2" t="s">
        <v>72</v>
      </c>
      <c r="D34" s="2" t="s">
        <v>9</v>
      </c>
      <c r="E34" s="2" t="s">
        <v>73</v>
      </c>
      <c r="F34" s="2" t="s">
        <v>74</v>
      </c>
    </row>
    <row r="35" spans="1:6" x14ac:dyDescent="0.25">
      <c r="A35" s="2" t="s">
        <v>87</v>
      </c>
      <c r="B35" s="2" t="s">
        <v>88</v>
      </c>
      <c r="C35" s="2" t="s">
        <v>89</v>
      </c>
      <c r="D35" s="2" t="s">
        <v>9</v>
      </c>
      <c r="E35" s="2" t="s">
        <v>73</v>
      </c>
      <c r="F35" s="2" t="s">
        <v>90</v>
      </c>
    </row>
    <row r="36" spans="1:6" x14ac:dyDescent="0.25">
      <c r="A36" s="2" t="s">
        <v>91</v>
      </c>
      <c r="B36" s="2" t="s">
        <v>92</v>
      </c>
      <c r="C36" s="2" t="s">
        <v>89</v>
      </c>
      <c r="D36" s="2" t="s">
        <v>9</v>
      </c>
      <c r="E36" s="2" t="s">
        <v>73</v>
      </c>
      <c r="F36" s="2" t="s">
        <v>90</v>
      </c>
    </row>
    <row r="37" spans="1:6" x14ac:dyDescent="0.25">
      <c r="A37" s="2" t="s">
        <v>93</v>
      </c>
      <c r="B37" s="2" t="s">
        <v>94</v>
      </c>
      <c r="C37" s="2" t="s">
        <v>89</v>
      </c>
      <c r="D37" s="2" t="s">
        <v>9</v>
      </c>
      <c r="E37" s="2" t="s">
        <v>73</v>
      </c>
      <c r="F37" s="2" t="s">
        <v>90</v>
      </c>
    </row>
    <row r="38" spans="1:6" x14ac:dyDescent="0.25">
      <c r="A38" s="2" t="s">
        <v>95</v>
      </c>
      <c r="B38" s="2" t="s">
        <v>96</v>
      </c>
      <c r="C38" s="2" t="s">
        <v>97</v>
      </c>
      <c r="D38" s="2" t="s">
        <v>9</v>
      </c>
      <c r="E38" s="2" t="s">
        <v>73</v>
      </c>
      <c r="F38" s="2" t="s">
        <v>98</v>
      </c>
    </row>
    <row r="39" spans="1:6" x14ac:dyDescent="0.25">
      <c r="A39" s="2" t="s">
        <v>99</v>
      </c>
      <c r="B39" s="2" t="s">
        <v>100</v>
      </c>
      <c r="C39" s="2" t="s">
        <v>97</v>
      </c>
      <c r="D39" s="2" t="s">
        <v>9</v>
      </c>
      <c r="E39" s="2" t="s">
        <v>73</v>
      </c>
      <c r="F39" s="2" t="s">
        <v>98</v>
      </c>
    </row>
    <row r="40" spans="1:6" x14ac:dyDescent="0.25">
      <c r="A40" s="2" t="s">
        <v>101</v>
      </c>
      <c r="B40" s="2" t="s">
        <v>102</v>
      </c>
      <c r="C40" s="2" t="s">
        <v>97</v>
      </c>
      <c r="D40" s="2" t="s">
        <v>9</v>
      </c>
      <c r="E40" s="2" t="s">
        <v>73</v>
      </c>
      <c r="F40" s="2" t="s">
        <v>98</v>
      </c>
    </row>
    <row r="41" spans="1:6" x14ac:dyDescent="0.25">
      <c r="A41" s="2" t="s">
        <v>103</v>
      </c>
      <c r="B41" s="2" t="s">
        <v>104</v>
      </c>
      <c r="C41" s="2" t="s">
        <v>97</v>
      </c>
      <c r="D41" s="2" t="s">
        <v>9</v>
      </c>
      <c r="E41" s="2" t="s">
        <v>73</v>
      </c>
      <c r="F41" s="2" t="s">
        <v>98</v>
      </c>
    </row>
    <row r="42" spans="1:6" x14ac:dyDescent="0.25">
      <c r="A42" s="2" t="s">
        <v>105</v>
      </c>
      <c r="B42" s="2" t="s">
        <v>106</v>
      </c>
      <c r="C42" s="2" t="s">
        <v>107</v>
      </c>
      <c r="D42" s="2" t="s">
        <v>9</v>
      </c>
      <c r="E42" s="2" t="s">
        <v>73</v>
      </c>
      <c r="F42" s="2" t="s">
        <v>108</v>
      </c>
    </row>
    <row r="43" spans="1:6" x14ac:dyDescent="0.25">
      <c r="A43" s="2" t="s">
        <v>109</v>
      </c>
      <c r="B43" s="2" t="s">
        <v>110</v>
      </c>
      <c r="C43" s="2" t="s">
        <v>107</v>
      </c>
      <c r="D43" s="2" t="s">
        <v>9</v>
      </c>
      <c r="E43" s="2" t="s">
        <v>73</v>
      </c>
      <c r="F43" s="2" t="s">
        <v>108</v>
      </c>
    </row>
    <row r="44" spans="1:6" x14ac:dyDescent="0.25">
      <c r="A44" s="2" t="s">
        <v>111</v>
      </c>
      <c r="B44" s="2" t="s">
        <v>112</v>
      </c>
      <c r="C44" s="2" t="s">
        <v>107</v>
      </c>
      <c r="D44" s="2" t="s">
        <v>9</v>
      </c>
      <c r="E44" s="2" t="s">
        <v>73</v>
      </c>
      <c r="F44" s="2" t="s">
        <v>108</v>
      </c>
    </row>
    <row r="45" spans="1:6" x14ac:dyDescent="0.25">
      <c r="A45" s="2" t="s">
        <v>113</v>
      </c>
      <c r="B45" s="2" t="s">
        <v>114</v>
      </c>
      <c r="C45" s="2" t="s">
        <v>107</v>
      </c>
      <c r="D45" s="2" t="s">
        <v>9</v>
      </c>
      <c r="E45" s="2" t="s">
        <v>73</v>
      </c>
      <c r="F45" s="2" t="s">
        <v>108</v>
      </c>
    </row>
    <row r="46" spans="1:6" x14ac:dyDescent="0.25">
      <c r="A46" s="2" t="s">
        <v>115</v>
      </c>
      <c r="B46" s="2" t="s">
        <v>116</v>
      </c>
      <c r="C46" s="2" t="s">
        <v>107</v>
      </c>
      <c r="D46" s="2" t="s">
        <v>9</v>
      </c>
      <c r="E46" s="2" t="s">
        <v>73</v>
      </c>
      <c r="F46" s="2" t="s">
        <v>108</v>
      </c>
    </row>
    <row r="47" spans="1:6" x14ac:dyDescent="0.25">
      <c r="A47" s="2" t="s">
        <v>117</v>
      </c>
      <c r="B47" s="2" t="s">
        <v>118</v>
      </c>
      <c r="C47" s="2" t="s">
        <v>107</v>
      </c>
      <c r="D47" s="2" t="s">
        <v>9</v>
      </c>
      <c r="E47" s="2" t="s">
        <v>73</v>
      </c>
      <c r="F47" s="2" t="s">
        <v>108</v>
      </c>
    </row>
    <row r="48" spans="1:6" x14ac:dyDescent="0.25">
      <c r="A48" s="2" t="s">
        <v>119</v>
      </c>
      <c r="B48" s="2" t="s">
        <v>120</v>
      </c>
      <c r="C48" s="2" t="s">
        <v>107</v>
      </c>
      <c r="D48" s="2" t="s">
        <v>9</v>
      </c>
      <c r="E48" s="2" t="s">
        <v>73</v>
      </c>
      <c r="F48" s="2" t="s">
        <v>108</v>
      </c>
    </row>
    <row r="49" spans="1:6" x14ac:dyDescent="0.25">
      <c r="A49" s="2" t="s">
        <v>121</v>
      </c>
      <c r="B49" s="2" t="s">
        <v>122</v>
      </c>
      <c r="C49" s="2" t="s">
        <v>72</v>
      </c>
      <c r="D49" s="2" t="s">
        <v>9</v>
      </c>
      <c r="E49" s="2" t="s">
        <v>73</v>
      </c>
      <c r="F49" s="2" t="s">
        <v>123</v>
      </c>
    </row>
    <row r="50" spans="1:6" x14ac:dyDescent="0.25">
      <c r="A50" s="2" t="s">
        <v>124</v>
      </c>
      <c r="B50" s="2" t="s">
        <v>125</v>
      </c>
      <c r="C50" s="2" t="s">
        <v>72</v>
      </c>
      <c r="D50" s="2" t="s">
        <v>9</v>
      </c>
      <c r="E50" s="2" t="s">
        <v>73</v>
      </c>
      <c r="F50" s="2" t="s">
        <v>123</v>
      </c>
    </row>
    <row r="51" spans="1:6" x14ac:dyDescent="0.25">
      <c r="A51" s="2" t="s">
        <v>126</v>
      </c>
      <c r="B51" s="2" t="s">
        <v>127</v>
      </c>
      <c r="C51" s="2" t="s">
        <v>72</v>
      </c>
      <c r="D51" s="2" t="s">
        <v>9</v>
      </c>
      <c r="E51" s="2" t="s">
        <v>73</v>
      </c>
      <c r="F51" s="2" t="s">
        <v>123</v>
      </c>
    </row>
    <row r="52" spans="1:6" x14ac:dyDescent="0.25">
      <c r="A52" s="2" t="s">
        <v>128</v>
      </c>
      <c r="B52" s="2" t="s">
        <v>129</v>
      </c>
      <c r="C52" s="2" t="s">
        <v>72</v>
      </c>
      <c r="D52" s="2" t="s">
        <v>9</v>
      </c>
      <c r="E52" s="2" t="s">
        <v>73</v>
      </c>
      <c r="F52" s="2" t="s">
        <v>123</v>
      </c>
    </row>
    <row r="53" spans="1:6" x14ac:dyDescent="0.25">
      <c r="A53" s="2" t="s">
        <v>130</v>
      </c>
      <c r="B53" s="2" t="s">
        <v>131</v>
      </c>
      <c r="C53" s="2" t="s">
        <v>72</v>
      </c>
      <c r="D53" s="2" t="s">
        <v>9</v>
      </c>
      <c r="E53" s="2" t="s">
        <v>73</v>
      </c>
      <c r="F53" s="2" t="s">
        <v>123</v>
      </c>
    </row>
    <row r="54" spans="1:6" x14ac:dyDescent="0.25">
      <c r="A54" s="2" t="s">
        <v>132</v>
      </c>
      <c r="B54" s="2" t="s">
        <v>133</v>
      </c>
      <c r="C54" s="2" t="s">
        <v>134</v>
      </c>
      <c r="D54" s="2" t="s">
        <v>9</v>
      </c>
      <c r="E54" s="2" t="s">
        <v>73</v>
      </c>
      <c r="F54" s="2" t="s">
        <v>135</v>
      </c>
    </row>
    <row r="55" spans="1:6" x14ac:dyDescent="0.25">
      <c r="A55" s="2" t="s">
        <v>136</v>
      </c>
      <c r="B55" s="2" t="s">
        <v>137</v>
      </c>
      <c r="C55" s="2" t="s">
        <v>72</v>
      </c>
      <c r="D55" s="2" t="s">
        <v>9</v>
      </c>
      <c r="E55" s="2" t="s">
        <v>73</v>
      </c>
      <c r="F55" s="2" t="s">
        <v>138</v>
      </c>
    </row>
    <row r="56" spans="1:6" x14ac:dyDescent="0.25">
      <c r="A56" s="2" t="s">
        <v>139</v>
      </c>
      <c r="B56" s="2" t="s">
        <v>140</v>
      </c>
      <c r="C56" s="2" t="s">
        <v>141</v>
      </c>
      <c r="D56" s="2" t="s">
        <v>142</v>
      </c>
      <c r="E56" s="2" t="s">
        <v>143</v>
      </c>
      <c r="F56" s="2" t="s">
        <v>144</v>
      </c>
    </row>
    <row r="57" spans="1:6" x14ac:dyDescent="0.25">
      <c r="A57" s="2" t="s">
        <v>145</v>
      </c>
      <c r="B57" s="2" t="s">
        <v>146</v>
      </c>
      <c r="C57" s="2" t="s">
        <v>147</v>
      </c>
      <c r="D57" s="2" t="s">
        <v>148</v>
      </c>
      <c r="E57" s="2" t="s">
        <v>143</v>
      </c>
      <c r="F57" s="2" t="s">
        <v>149</v>
      </c>
    </row>
    <row r="58" spans="1:6" x14ac:dyDescent="0.25">
      <c r="A58" s="2" t="s">
        <v>150</v>
      </c>
      <c r="B58" s="2" t="s">
        <v>151</v>
      </c>
      <c r="C58" s="2" t="s">
        <v>147</v>
      </c>
      <c r="D58" s="2" t="s">
        <v>148</v>
      </c>
      <c r="E58" s="2" t="s">
        <v>143</v>
      </c>
      <c r="F58" s="2" t="s">
        <v>149</v>
      </c>
    </row>
    <row r="59" spans="1:6" x14ac:dyDescent="0.25">
      <c r="A59" s="2" t="s">
        <v>152</v>
      </c>
      <c r="B59" s="2" t="s">
        <v>153</v>
      </c>
      <c r="C59" s="2" t="s">
        <v>147</v>
      </c>
      <c r="D59" s="2" t="s">
        <v>148</v>
      </c>
      <c r="E59" s="2" t="s">
        <v>143</v>
      </c>
      <c r="F59" s="2" t="s">
        <v>149</v>
      </c>
    </row>
    <row r="60" spans="1:6" x14ac:dyDescent="0.25">
      <c r="A60" s="2" t="s">
        <v>154</v>
      </c>
      <c r="B60" s="2" t="s">
        <v>155</v>
      </c>
      <c r="C60" s="2" t="s">
        <v>147</v>
      </c>
      <c r="D60" s="2" t="s">
        <v>148</v>
      </c>
      <c r="E60" s="2" t="s">
        <v>143</v>
      </c>
      <c r="F60" s="2" t="s">
        <v>149</v>
      </c>
    </row>
    <row r="61" spans="1:6" x14ac:dyDescent="0.25">
      <c r="A61" s="2" t="s">
        <v>156</v>
      </c>
      <c r="B61" s="2" t="s">
        <v>157</v>
      </c>
      <c r="C61" s="2" t="s">
        <v>141</v>
      </c>
      <c r="D61" s="2" t="s">
        <v>158</v>
      </c>
      <c r="E61" s="2" t="s">
        <v>143</v>
      </c>
      <c r="F61" s="2" t="s">
        <v>159</v>
      </c>
    </row>
    <row r="62" spans="1:6" x14ac:dyDescent="0.25">
      <c r="A62" s="2" t="s">
        <v>160</v>
      </c>
      <c r="B62" s="2" t="s">
        <v>161</v>
      </c>
      <c r="C62" s="2" t="s">
        <v>141</v>
      </c>
      <c r="D62" s="2" t="s">
        <v>158</v>
      </c>
      <c r="E62" s="2" t="s">
        <v>143</v>
      </c>
      <c r="F62" s="2" t="s">
        <v>159</v>
      </c>
    </row>
    <row r="63" spans="1:6" x14ac:dyDescent="0.25">
      <c r="A63" s="2" t="s">
        <v>162</v>
      </c>
      <c r="B63" s="2" t="s">
        <v>163</v>
      </c>
      <c r="C63" s="2" t="s">
        <v>141</v>
      </c>
      <c r="D63" s="2" t="s">
        <v>158</v>
      </c>
      <c r="E63" s="2" t="s">
        <v>143</v>
      </c>
      <c r="F63" s="2" t="s">
        <v>159</v>
      </c>
    </row>
    <row r="64" spans="1:6" x14ac:dyDescent="0.25">
      <c r="A64" s="2" t="s">
        <v>164</v>
      </c>
      <c r="B64" s="2" t="s">
        <v>165</v>
      </c>
      <c r="C64" s="2" t="s">
        <v>141</v>
      </c>
      <c r="D64" s="2" t="s">
        <v>158</v>
      </c>
      <c r="E64" s="2" t="s">
        <v>143</v>
      </c>
      <c r="F64" s="2" t="s">
        <v>159</v>
      </c>
    </row>
    <row r="65" spans="1:6" x14ac:dyDescent="0.25">
      <c r="A65" s="2" t="s">
        <v>166</v>
      </c>
      <c r="B65" s="2" t="s">
        <v>167</v>
      </c>
      <c r="C65" s="2" t="s">
        <v>141</v>
      </c>
      <c r="D65" s="2" t="s">
        <v>158</v>
      </c>
      <c r="E65" s="2" t="s">
        <v>143</v>
      </c>
      <c r="F65" s="2" t="s">
        <v>159</v>
      </c>
    </row>
    <row r="66" spans="1:6" x14ac:dyDescent="0.25">
      <c r="A66" s="2" t="s">
        <v>168</v>
      </c>
      <c r="B66" s="2" t="s">
        <v>169</v>
      </c>
      <c r="C66" s="2" t="s">
        <v>141</v>
      </c>
      <c r="D66" s="2" t="s">
        <v>158</v>
      </c>
      <c r="E66" s="2" t="s">
        <v>143</v>
      </c>
      <c r="F66" s="2" t="s">
        <v>159</v>
      </c>
    </row>
    <row r="67" spans="1:6" x14ac:dyDescent="0.25">
      <c r="A67" s="2" t="s">
        <v>170</v>
      </c>
      <c r="B67" s="2" t="s">
        <v>171</v>
      </c>
      <c r="C67" s="2" t="s">
        <v>147</v>
      </c>
      <c r="D67" s="2" t="s">
        <v>172</v>
      </c>
      <c r="E67" s="2" t="s">
        <v>143</v>
      </c>
      <c r="F67" s="2" t="s">
        <v>173</v>
      </c>
    </row>
    <row r="68" spans="1:6" x14ac:dyDescent="0.25">
      <c r="A68" s="2" t="s">
        <v>174</v>
      </c>
      <c r="B68" s="2" t="s">
        <v>175</v>
      </c>
      <c r="C68" s="2" t="s">
        <v>147</v>
      </c>
      <c r="D68" s="2" t="s">
        <v>172</v>
      </c>
      <c r="E68" s="2" t="s">
        <v>143</v>
      </c>
      <c r="F68" s="2" t="s">
        <v>173</v>
      </c>
    </row>
    <row r="69" spans="1:6" x14ac:dyDescent="0.25">
      <c r="A69" s="2" t="s">
        <v>176</v>
      </c>
      <c r="B69" s="2" t="s">
        <v>177</v>
      </c>
      <c r="C69" s="2" t="s">
        <v>147</v>
      </c>
      <c r="D69" s="2" t="s">
        <v>172</v>
      </c>
      <c r="E69" s="2" t="s">
        <v>143</v>
      </c>
      <c r="F69" s="2" t="s">
        <v>173</v>
      </c>
    </row>
    <row r="70" spans="1:6" x14ac:dyDescent="0.25">
      <c r="A70" s="2" t="s">
        <v>178</v>
      </c>
      <c r="B70" s="2" t="s">
        <v>179</v>
      </c>
      <c r="C70" s="2" t="s">
        <v>180</v>
      </c>
      <c r="D70" s="2" t="s">
        <v>181</v>
      </c>
      <c r="E70" s="2" t="s">
        <v>182</v>
      </c>
      <c r="F70" s="2" t="s">
        <v>183</v>
      </c>
    </row>
    <row r="71" spans="1:6" x14ac:dyDescent="0.25">
      <c r="A71" s="2" t="s">
        <v>184</v>
      </c>
      <c r="B71" s="2" t="s">
        <v>185</v>
      </c>
      <c r="C71" s="2" t="s">
        <v>180</v>
      </c>
      <c r="D71" s="2" t="s">
        <v>181</v>
      </c>
      <c r="E71" s="2" t="s">
        <v>182</v>
      </c>
      <c r="F71" s="2" t="s">
        <v>183</v>
      </c>
    </row>
    <row r="72" spans="1:6" x14ac:dyDescent="0.25">
      <c r="A72" s="2" t="s">
        <v>186</v>
      </c>
      <c r="B72" s="2" t="s">
        <v>187</v>
      </c>
      <c r="C72" s="2" t="s">
        <v>180</v>
      </c>
      <c r="D72" s="2" t="s">
        <v>181</v>
      </c>
      <c r="E72" s="2" t="s">
        <v>182</v>
      </c>
      <c r="F72" s="2" t="s">
        <v>183</v>
      </c>
    </row>
    <row r="73" spans="1:6" x14ac:dyDescent="0.25">
      <c r="A73" s="2" t="s">
        <v>188</v>
      </c>
      <c r="B73" s="2" t="s">
        <v>189</v>
      </c>
      <c r="C73" s="2" t="s">
        <v>180</v>
      </c>
      <c r="D73" s="2" t="s">
        <v>181</v>
      </c>
      <c r="E73" s="2" t="s">
        <v>182</v>
      </c>
      <c r="F73" s="2" t="s">
        <v>183</v>
      </c>
    </row>
    <row r="74" spans="1:6" x14ac:dyDescent="0.25">
      <c r="A74" s="2" t="s">
        <v>190</v>
      </c>
      <c r="B74" s="2" t="s">
        <v>191</v>
      </c>
      <c r="C74" s="2" t="s">
        <v>180</v>
      </c>
      <c r="D74" s="2" t="s">
        <v>181</v>
      </c>
      <c r="E74" s="2" t="s">
        <v>182</v>
      </c>
      <c r="F74" s="2" t="s">
        <v>192</v>
      </c>
    </row>
    <row r="75" spans="1:6" x14ac:dyDescent="0.25">
      <c r="A75" s="2" t="s">
        <v>193</v>
      </c>
      <c r="B75" s="2" t="s">
        <v>194</v>
      </c>
      <c r="C75" s="2" t="s">
        <v>180</v>
      </c>
      <c r="D75" s="2" t="s">
        <v>181</v>
      </c>
      <c r="E75" s="2" t="s">
        <v>182</v>
      </c>
      <c r="F75" s="2" t="s">
        <v>192</v>
      </c>
    </row>
    <row r="76" spans="1:6" x14ac:dyDescent="0.25">
      <c r="A76" s="2" t="s">
        <v>195</v>
      </c>
      <c r="B76" s="2" t="s">
        <v>196</v>
      </c>
      <c r="C76" s="2" t="s">
        <v>180</v>
      </c>
      <c r="D76" s="2" t="s">
        <v>181</v>
      </c>
      <c r="E76" s="2" t="s">
        <v>182</v>
      </c>
      <c r="F76" s="2" t="s">
        <v>197</v>
      </c>
    </row>
    <row r="77" spans="1:6" x14ac:dyDescent="0.25">
      <c r="A77" s="2" t="s">
        <v>198</v>
      </c>
      <c r="B77" s="2" t="s">
        <v>199</v>
      </c>
      <c r="C77" s="2" t="s">
        <v>180</v>
      </c>
      <c r="D77" s="2" t="s">
        <v>181</v>
      </c>
      <c r="E77" s="2" t="s">
        <v>182</v>
      </c>
      <c r="F77" s="2" t="s">
        <v>197</v>
      </c>
    </row>
    <row r="78" spans="1:6" x14ac:dyDescent="0.25">
      <c r="A78" s="2" t="s">
        <v>200</v>
      </c>
      <c r="B78" s="2" t="s">
        <v>201</v>
      </c>
      <c r="C78" s="2" t="s">
        <v>180</v>
      </c>
      <c r="D78" s="2" t="s">
        <v>181</v>
      </c>
      <c r="E78" s="2" t="s">
        <v>182</v>
      </c>
      <c r="F78" s="2" t="s">
        <v>197</v>
      </c>
    </row>
    <row r="79" spans="1:6" x14ac:dyDescent="0.25">
      <c r="A79" s="2" t="s">
        <v>202</v>
      </c>
      <c r="B79" s="2" t="s">
        <v>203</v>
      </c>
      <c r="C79" s="2" t="s">
        <v>180</v>
      </c>
      <c r="D79" s="2" t="s">
        <v>181</v>
      </c>
      <c r="E79" s="2" t="s">
        <v>182</v>
      </c>
      <c r="F79" s="2" t="s">
        <v>197</v>
      </c>
    </row>
    <row r="80" spans="1:6" x14ac:dyDescent="0.25">
      <c r="A80" s="2" t="s">
        <v>204</v>
      </c>
      <c r="B80" s="2" t="s">
        <v>205</v>
      </c>
      <c r="C80" s="2" t="s">
        <v>180</v>
      </c>
      <c r="D80" s="2" t="s">
        <v>181</v>
      </c>
      <c r="E80" s="2" t="s">
        <v>182</v>
      </c>
      <c r="F80" s="2" t="s">
        <v>206</v>
      </c>
    </row>
    <row r="81" spans="1:6" x14ac:dyDescent="0.25">
      <c r="A81" s="2" t="s">
        <v>207</v>
      </c>
      <c r="B81" s="2" t="s">
        <v>208</v>
      </c>
      <c r="C81" s="2" t="s">
        <v>180</v>
      </c>
      <c r="D81" s="2" t="s">
        <v>181</v>
      </c>
      <c r="E81" s="2" t="s">
        <v>182</v>
      </c>
      <c r="F81" s="2" t="s">
        <v>206</v>
      </c>
    </row>
    <row r="82" spans="1:6" x14ac:dyDescent="0.25">
      <c r="A82" s="2" t="s">
        <v>209</v>
      </c>
      <c r="B82" s="2" t="s">
        <v>210</v>
      </c>
      <c r="C82" s="2" t="s">
        <v>180</v>
      </c>
      <c r="D82" s="2" t="s">
        <v>181</v>
      </c>
      <c r="E82" s="2" t="s">
        <v>182</v>
      </c>
      <c r="F82" s="2" t="s">
        <v>206</v>
      </c>
    </row>
    <row r="83" spans="1:6" x14ac:dyDescent="0.25">
      <c r="A83" s="2" t="s">
        <v>211</v>
      </c>
      <c r="B83" s="2" t="s">
        <v>212</v>
      </c>
      <c r="C83" s="2" t="s">
        <v>180</v>
      </c>
      <c r="D83" s="2" t="s">
        <v>181</v>
      </c>
      <c r="E83" s="2" t="s">
        <v>182</v>
      </c>
      <c r="F83" s="2" t="s">
        <v>206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6" customWidth="1"/>
    <col min="3" max="3" width="16" customWidth="1"/>
    <col min="4" max="4" width="22" customWidth="1"/>
  </cols>
  <sheetData>
    <row r="1" spans="1:4" x14ac:dyDescent="0.25">
      <c r="A1" s="3" t="s">
        <v>213</v>
      </c>
      <c r="B1" s="3"/>
      <c r="C1" s="3"/>
      <c r="D1" s="3"/>
    </row>
    <row r="2" spans="1:4" x14ac:dyDescent="0.25">
      <c r="A2" s="4" t="s">
        <v>214</v>
      </c>
      <c r="B2" s="4"/>
      <c r="C2" s="4"/>
      <c r="D2" s="4"/>
    </row>
    <row r="3" spans="1:4" x14ac:dyDescent="0.25">
      <c r="A3" s="4"/>
      <c r="B3" s="4"/>
      <c r="C3" s="4"/>
      <c r="D3" s="4"/>
    </row>
    <row r="4" spans="1:4" x14ac:dyDescent="0.25">
      <c r="A4" s="4"/>
      <c r="B4" s="4"/>
      <c r="C4" s="4"/>
      <c r="D4" s="4"/>
    </row>
    <row r="5" spans="1:4" x14ac:dyDescent="0.25">
      <c r="A5" s="4"/>
      <c r="B5" s="4"/>
      <c r="C5" s="4"/>
      <c r="D5" s="4"/>
    </row>
    <row r="7" ht="20" customHeight="1" spans="1:4" x14ac:dyDescent="0.25">
      <c r="A7" s="1" t="s">
        <v>215</v>
      </c>
      <c r="B7" s="1" t="s">
        <v>216</v>
      </c>
      <c r="C7" s="1" t="s">
        <v>3</v>
      </c>
      <c r="D7" s="1" t="s">
        <v>217</v>
      </c>
    </row>
    <row r="8" spans="1:4" x14ac:dyDescent="0.25">
      <c r="A8" s="2" t="s">
        <v>10</v>
      </c>
      <c r="B8" s="2" t="s">
        <v>11</v>
      </c>
      <c r="C8" s="2" t="s">
        <v>9</v>
      </c>
      <c r="D8" s="2">
        <f>COUNTIFS('All SKUs Used (82)'!$E:$E,$A8,'All SKUs Used (82)'!$F:$F,$B8)</f>
      </c>
    </row>
    <row r="9" spans="1:4" x14ac:dyDescent="0.25">
      <c r="A9" s="2" t="s">
        <v>10</v>
      </c>
      <c r="B9" s="2" t="s">
        <v>17</v>
      </c>
      <c r="C9" s="2" t="s">
        <v>9</v>
      </c>
      <c r="D9" s="2">
        <f>COUNTIFS('All SKUs Used (82)'!$E:$E,$A9,'All SKUs Used (82)'!$F:$F,$B9)</f>
      </c>
    </row>
    <row r="10" spans="1:4" x14ac:dyDescent="0.25">
      <c r="A10" s="2" t="s">
        <v>10</v>
      </c>
      <c r="B10" s="2" t="s">
        <v>35</v>
      </c>
      <c r="C10" s="2" t="s">
        <v>9</v>
      </c>
      <c r="D10" s="2">
        <f>COUNTIFS('All SKUs Used (82)'!$E:$E,$A10,'All SKUs Used (82)'!$F:$F,$B10)</f>
      </c>
    </row>
    <row r="11" spans="1:4" x14ac:dyDescent="0.25">
      <c r="A11" s="2" t="s">
        <v>10</v>
      </c>
      <c r="B11" s="2" t="s">
        <v>38</v>
      </c>
      <c r="C11" s="2" t="s">
        <v>9</v>
      </c>
      <c r="D11" s="2">
        <f>COUNTIFS('All SKUs Used (82)'!$E:$E,$A11,'All SKUs Used (82)'!$F:$F,$B11)</f>
      </c>
    </row>
    <row r="12" spans="1:4" x14ac:dyDescent="0.25">
      <c r="A12" s="2" t="s">
        <v>10</v>
      </c>
      <c r="B12" s="2" t="s">
        <v>51</v>
      </c>
      <c r="C12" s="2" t="s">
        <v>9</v>
      </c>
      <c r="D12" s="2">
        <f>COUNTIFS('All SKUs Used (82)'!$E:$E,$A12,'All SKUs Used (82)'!$F:$F,$B12)</f>
      </c>
    </row>
    <row r="13" spans="1:4" x14ac:dyDescent="0.25">
      <c r="A13" s="2" t="s">
        <v>10</v>
      </c>
      <c r="B13" s="2" t="s">
        <v>58</v>
      </c>
      <c r="C13" s="2" t="s">
        <v>9</v>
      </c>
      <c r="D13" s="2">
        <f>COUNTIFS('All SKUs Used (82)'!$E:$E,$A13,'All SKUs Used (82)'!$F:$F,$B13)</f>
      </c>
    </row>
    <row r="14" spans="1:4" x14ac:dyDescent="0.25">
      <c r="A14" s="2" t="s">
        <v>10</v>
      </c>
      <c r="B14" s="2" t="s">
        <v>61</v>
      </c>
      <c r="C14" s="2" t="s">
        <v>9</v>
      </c>
      <c r="D14" s="2">
        <f>COUNTIFS('All SKUs Used (82)'!$E:$E,$A14,'All SKUs Used (82)'!$F:$F,$B14)</f>
      </c>
    </row>
    <row r="15" spans="1:4" x14ac:dyDescent="0.25">
      <c r="A15" s="2" t="s">
        <v>73</v>
      </c>
      <c r="B15" s="2" t="s">
        <v>74</v>
      </c>
      <c r="C15" s="2" t="s">
        <v>9</v>
      </c>
      <c r="D15" s="2">
        <f>COUNTIFS('All SKUs Used (82)'!$E:$E,$A15,'All SKUs Used (82)'!$F:$F,$B15)</f>
      </c>
    </row>
    <row r="16" spans="1:4" x14ac:dyDescent="0.25">
      <c r="A16" s="2" t="s">
        <v>73</v>
      </c>
      <c r="B16" s="2" t="s">
        <v>90</v>
      </c>
      <c r="C16" s="2" t="s">
        <v>9</v>
      </c>
      <c r="D16" s="2">
        <f>COUNTIFS('All SKUs Used (82)'!$E:$E,$A16,'All SKUs Used (82)'!$F:$F,$B16)</f>
      </c>
    </row>
    <row r="17" spans="1:4" x14ac:dyDescent="0.25">
      <c r="A17" s="2" t="s">
        <v>73</v>
      </c>
      <c r="B17" s="2" t="s">
        <v>98</v>
      </c>
      <c r="C17" s="2" t="s">
        <v>9</v>
      </c>
      <c r="D17" s="2">
        <f>COUNTIFS('All SKUs Used (82)'!$E:$E,$A17,'All SKUs Used (82)'!$F:$F,$B17)</f>
      </c>
    </row>
    <row r="18" spans="1:4" x14ac:dyDescent="0.25">
      <c r="A18" s="2" t="s">
        <v>73</v>
      </c>
      <c r="B18" s="2" t="s">
        <v>108</v>
      </c>
      <c r="C18" s="2" t="s">
        <v>9</v>
      </c>
      <c r="D18" s="2">
        <f>COUNTIFS('All SKUs Used (82)'!$E:$E,$A18,'All SKUs Used (82)'!$F:$F,$B18)</f>
      </c>
    </row>
    <row r="19" spans="1:4" x14ac:dyDescent="0.25">
      <c r="A19" s="2" t="s">
        <v>73</v>
      </c>
      <c r="B19" s="2" t="s">
        <v>123</v>
      </c>
      <c r="C19" s="2" t="s">
        <v>9</v>
      </c>
      <c r="D19" s="2">
        <f>COUNTIFS('All SKUs Used (82)'!$E:$E,$A19,'All SKUs Used (82)'!$F:$F,$B19)</f>
      </c>
    </row>
    <row r="20" spans="1:4" x14ac:dyDescent="0.25">
      <c r="A20" s="2" t="s">
        <v>73</v>
      </c>
      <c r="B20" s="2" t="s">
        <v>135</v>
      </c>
      <c r="C20" s="2" t="s">
        <v>9</v>
      </c>
      <c r="D20" s="2">
        <f>COUNTIFS('All SKUs Used (82)'!$E:$E,$A20,'All SKUs Used (82)'!$F:$F,$B20)</f>
      </c>
    </row>
    <row r="21" spans="1:4" x14ac:dyDescent="0.25">
      <c r="A21" s="2" t="s">
        <v>73</v>
      </c>
      <c r="B21" s="2" t="s">
        <v>138</v>
      </c>
      <c r="C21" s="2" t="s">
        <v>9</v>
      </c>
      <c r="D21" s="2">
        <f>COUNTIFS('All SKUs Used (82)'!$E:$E,$A21,'All SKUs Used (82)'!$F:$F,$B21)</f>
      </c>
    </row>
    <row r="22" spans="1:4" x14ac:dyDescent="0.25">
      <c r="A22" s="2" t="s">
        <v>143</v>
      </c>
      <c r="B22" s="2" t="s">
        <v>144</v>
      </c>
      <c r="C22" s="2" t="s">
        <v>142</v>
      </c>
      <c r="D22" s="2">
        <f>COUNTIFS('All SKUs Used (82)'!$E:$E,$A22,'All SKUs Used (82)'!$F:$F,$B22)</f>
      </c>
    </row>
    <row r="23" spans="1:4" x14ac:dyDescent="0.25">
      <c r="A23" s="2" t="s">
        <v>143</v>
      </c>
      <c r="B23" s="2" t="s">
        <v>149</v>
      </c>
      <c r="C23" s="2" t="s">
        <v>148</v>
      </c>
      <c r="D23" s="2">
        <f>COUNTIFS('All SKUs Used (82)'!$E:$E,$A23,'All SKUs Used (82)'!$F:$F,$B23)</f>
      </c>
    </row>
    <row r="24" spans="1:4" x14ac:dyDescent="0.25">
      <c r="A24" s="2" t="s">
        <v>143</v>
      </c>
      <c r="B24" s="2" t="s">
        <v>159</v>
      </c>
      <c r="C24" s="2" t="s">
        <v>158</v>
      </c>
      <c r="D24" s="2">
        <f>COUNTIFS('All SKUs Used (82)'!$E:$E,$A24,'All SKUs Used (82)'!$F:$F,$B24)</f>
      </c>
    </row>
    <row r="25" spans="1:4" x14ac:dyDescent="0.25">
      <c r="A25" s="2" t="s">
        <v>143</v>
      </c>
      <c r="B25" s="2" t="s">
        <v>173</v>
      </c>
      <c r="C25" s="2" t="s">
        <v>172</v>
      </c>
      <c r="D25" s="2">
        <f>COUNTIFS('All SKUs Used (82)'!$E:$E,$A25,'All SKUs Used (82)'!$F:$F,$B25)</f>
      </c>
    </row>
    <row r="26" spans="1:4" x14ac:dyDescent="0.25">
      <c r="A26" s="2" t="s">
        <v>182</v>
      </c>
      <c r="B26" s="2" t="s">
        <v>183</v>
      </c>
      <c r="C26" s="2" t="s">
        <v>181</v>
      </c>
      <c r="D26" s="2">
        <f>COUNTIFS('All SKUs Used (82)'!$E:$E,$A26,'All SKUs Used (82)'!$F:$F,$B26)</f>
      </c>
    </row>
    <row r="27" spans="1:4" x14ac:dyDescent="0.25">
      <c r="A27" s="2" t="s">
        <v>182</v>
      </c>
      <c r="B27" s="2" t="s">
        <v>192</v>
      </c>
      <c r="C27" s="2" t="s">
        <v>181</v>
      </c>
      <c r="D27" s="2">
        <f>COUNTIFS('All SKUs Used (82)'!$E:$E,$A27,'All SKUs Used (82)'!$F:$F,$B27)</f>
      </c>
    </row>
    <row r="28" spans="1:4" x14ac:dyDescent="0.25">
      <c r="A28" s="2" t="s">
        <v>182</v>
      </c>
      <c r="B28" s="2" t="s">
        <v>197</v>
      </c>
      <c r="C28" s="2" t="s">
        <v>181</v>
      </c>
      <c r="D28" s="2">
        <f>COUNTIFS('All SKUs Used (82)'!$E:$E,$A28,'All SKUs Used (82)'!$F:$F,$B28)</f>
      </c>
    </row>
    <row r="29" spans="1:4" x14ac:dyDescent="0.25">
      <c r="A29" s="2" t="s">
        <v>182</v>
      </c>
      <c r="B29" s="2" t="s">
        <v>206</v>
      </c>
      <c r="C29" s="2" t="s">
        <v>181</v>
      </c>
      <c r="D29" s="2">
        <f>COUNTIFS('All SKUs Used (82)'!$E:$E,$A29,'All SKUs Used (82)'!$F:$F,$B29)</f>
      </c>
    </row>
    <row r="30" spans="1:4" x14ac:dyDescent="0.25">
      <c r="A30" s="5" t="s">
        <v>218</v>
      </c>
      <c r="B30" s="5" t="s">
        <v>218</v>
      </c>
      <c r="C30" s="6" t="s">
        <v>219</v>
      </c>
      <c r="D30" s="5">
        <f>SUM(D8:D29)</f>
      </c>
    </row>
  </sheetData>
  <mergeCells count="2">
    <mergeCell ref="A1:D1"/>
    <mergeCell ref="A2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40" customWidth="1"/>
    <col min="2" max="2" width="62" customWidth="1"/>
    <col min="3" max="3" width="20" customWidth="1"/>
  </cols>
  <sheetData>
    <row r="1" spans="1:3" x14ac:dyDescent="0.25">
      <c r="A1" s="7" t="s">
        <v>220</v>
      </c>
      <c r="B1" s="7"/>
      <c r="C1" s="7"/>
    </row>
    <row r="2" ht="20" customHeight="1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8" t="s">
        <v>221</v>
      </c>
      <c r="B3" s="8" t="s">
        <v>222</v>
      </c>
      <c r="C3" s="8" t="s">
        <v>223</v>
      </c>
    </row>
    <row r="4" spans="1:3" x14ac:dyDescent="0.25">
      <c r="A4" s="8" t="s">
        <v>224</v>
      </c>
      <c r="B4" s="8" t="s">
        <v>225</v>
      </c>
      <c r="C4" s="8" t="s">
        <v>226</v>
      </c>
    </row>
    <row r="5" spans="1:3" x14ac:dyDescent="0.25">
      <c r="A5" s="8" t="s">
        <v>227</v>
      </c>
      <c r="B5" s="8" t="s">
        <v>228</v>
      </c>
      <c r="C5" s="8" t="s">
        <v>226</v>
      </c>
    </row>
    <row r="6" spans="1:3" x14ac:dyDescent="0.25">
      <c r="A6" s="8" t="s">
        <v>229</v>
      </c>
      <c r="B6" s="8" t="s">
        <v>230</v>
      </c>
      <c r="C6" s="8" t="s">
        <v>226</v>
      </c>
    </row>
    <row r="7" spans="1:3" x14ac:dyDescent="0.25">
      <c r="A7" s="8" t="s">
        <v>231</v>
      </c>
      <c r="B7" s="8" t="s">
        <v>232</v>
      </c>
      <c r="C7" s="8" t="s">
        <v>226</v>
      </c>
    </row>
    <row r="8" spans="1:3" x14ac:dyDescent="0.25">
      <c r="A8" s="8" t="s">
        <v>233</v>
      </c>
      <c r="B8" s="8" t="s">
        <v>234</v>
      </c>
      <c r="C8" s="8" t="s">
        <v>226</v>
      </c>
    </row>
    <row r="11" spans="1:3" x14ac:dyDescent="0.25">
      <c r="A11" s="7" t="s">
        <v>235</v>
      </c>
      <c r="B11" s="7"/>
      <c r="C11" s="7"/>
    </row>
    <row r="12" ht="20" customHeight="1" spans="1:3" x14ac:dyDescent="0.25">
      <c r="A12" s="1" t="s">
        <v>236</v>
      </c>
      <c r="B12" s="1" t="s">
        <v>237</v>
      </c>
    </row>
    <row r="13" spans="1:2" x14ac:dyDescent="0.25">
      <c r="A13" s="9" t="s">
        <v>238</v>
      </c>
      <c r="B13" s="9" t="s">
        <v>239</v>
      </c>
    </row>
    <row r="14" spans="1:2" x14ac:dyDescent="0.25">
      <c r="A14" s="9" t="s">
        <v>240</v>
      </c>
      <c r="B14" s="9" t="s">
        <v>239</v>
      </c>
    </row>
    <row r="15" spans="1:2" x14ac:dyDescent="0.25">
      <c r="A15" s="9" t="s">
        <v>241</v>
      </c>
      <c r="B15" s="9" t="s">
        <v>239</v>
      </c>
    </row>
    <row r="16" spans="1:2" x14ac:dyDescent="0.25">
      <c r="A16" s="9" t="s">
        <v>242</v>
      </c>
      <c r="B16" s="9" t="s">
        <v>239</v>
      </c>
    </row>
  </sheetData>
  <mergeCells count="2">
    <mergeCell ref="A1:C1"/>
    <mergeCell ref="A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SKUs Used (82)</vt:lpstr>
      <vt:lpstr>Cards in Catalogue</vt:lpstr>
      <vt:lpstr>Not Included This Round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2026-09-10T00:00:00Z</dcterms:created>
  <dcterms:modified xsi:type="dcterms:W3CDTF">2026-09-10T15:18:44Z</dcterms:modified>
</cp:coreProperties>
</file>